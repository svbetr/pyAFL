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Vaughan\Documents\10_2025_lifeline_AFL_costing\summary_results\"/>
    </mc:Choice>
  </mc:AlternateContent>
  <xr:revisionPtr revIDLastSave="0" documentId="8_{F88D5EE6-65C0-40AD-94B8-933B1207D1A9}" xr6:coauthVersionLast="47" xr6:coauthVersionMax="47" xr10:uidLastSave="{00000000-0000-0000-0000-000000000000}"/>
  <bookViews>
    <workbookView xWindow="-120" yWindow="-120" windowWidth="29040" windowHeight="15720" xr2:uid="{3F030149-3747-4635-B7F0-F439F9688994}"/>
  </bookViews>
  <sheets>
    <sheet name="low_bands_summary" sheetId="1" r:id="rId1"/>
  </sheets>
  <calcPr calcId="0"/>
</workbook>
</file>

<file path=xl/calcChain.xml><?xml version="1.0" encoding="utf-8"?>
<calcChain xmlns="http://schemas.openxmlformats.org/spreadsheetml/2006/main">
  <c r="G26" i="1" l="1"/>
  <c r="F26" i="1"/>
  <c r="E26" i="1"/>
  <c r="D26" i="1"/>
  <c r="H26" i="1" s="1"/>
  <c r="H12" i="1"/>
  <c r="E12" i="1"/>
  <c r="F12" i="1"/>
  <c r="M12" i="1" s="1"/>
  <c r="G12" i="1"/>
  <c r="M13" i="1" s="1"/>
  <c r="D12" i="1"/>
</calcChain>
</file>

<file path=xl/sharedStrings.xml><?xml version="1.0" encoding="utf-8"?>
<sst xmlns="http://schemas.openxmlformats.org/spreadsheetml/2006/main" count="36" uniqueCount="19">
  <si>
    <t>2,2</t>
  </si>
  <si>
    <t>2,2,2</t>
  </si>
  <si>
    <t>2,2,2,2</t>
  </si>
  <si>
    <t>Bands 1-5</t>
  </si>
  <si>
    <t>4,4</t>
  </si>
  <si>
    <t>3,3,3</t>
  </si>
  <si>
    <t>4,4,4,4</t>
  </si>
  <si>
    <t>Bands 6-7</t>
  </si>
  <si>
    <t>Expected Payout</t>
  </si>
  <si>
    <t>Gross Win of bets saved by lifelines</t>
  </si>
  <si>
    <t>Gross Win of all lifeline-eligible bets</t>
  </si>
  <si>
    <t>Gross Win Post Lifelines</t>
  </si>
  <si>
    <t>Season</t>
  </si>
  <si>
    <t>N Legs</t>
  </si>
  <si>
    <t>Lifelines</t>
  </si>
  <si>
    <t>Total</t>
  </si>
  <si>
    <t>Gross Win in 2025</t>
  </si>
  <si>
    <t>Gross Win in 2025 after lifelines</t>
  </si>
  <si>
    <t>Cost % (Fraction of Gross Win Post Lifelines)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</si>
</sst>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2" fontId="0" fillId="0" borderId="0" xfId="1" applyNumberFormat="1" applyFont="1"/>
    <xf numFmtId="9" fontId="0" fillId="0" borderId="0" xfId="2" applyFont="1"/>
    <xf numFmtId="42" fontId="0" fillId="0" borderId="0" xfId="0" applyNumberFormat="1"/>
    <xf numFmtId="0" fontId="18" fillId="0" borderId="10" xfId="0" applyFont="1" applyBorder="1"/>
    <xf numFmtId="42" fontId="16" fillId="0" borderId="11" xfId="0" applyNumberFormat="1" applyFont="1" applyBorder="1"/>
    <xf numFmtId="9" fontId="16" fillId="0" borderId="12" xfId="2" applyFont="1" applyBorder="1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072D-F15B-45A8-8D8D-EBC596B600BC}">
  <dimension ref="A1:M26"/>
  <sheetViews>
    <sheetView tabSelected="1" workbookViewId="0">
      <selection activeCell="H34" sqref="H34"/>
    </sheetView>
  </sheetViews>
  <sheetFormatPr defaultRowHeight="15" x14ac:dyDescent="0.25"/>
  <cols>
    <col min="4" max="4" width="15.28515625" bestFit="1" customWidth="1"/>
    <col min="5" max="6" width="32.42578125" bestFit="1" customWidth="1"/>
    <col min="7" max="7" width="22.42578125" bestFit="1" customWidth="1"/>
    <col min="8" max="8" width="40.5703125" bestFit="1" customWidth="1"/>
    <col min="12" max="12" width="21" customWidth="1"/>
    <col min="13" max="13" width="11.5703125" bestFit="1" customWidth="1"/>
  </cols>
  <sheetData>
    <row r="1" spans="1:13" ht="21" x14ac:dyDescent="0.35">
      <c r="A1" s="7" t="s">
        <v>7</v>
      </c>
      <c r="B1" s="7"/>
      <c r="C1" s="7"/>
      <c r="D1" s="7"/>
      <c r="E1" s="7"/>
      <c r="F1" s="7"/>
      <c r="G1" s="7"/>
      <c r="H1" s="7"/>
      <c r="I1" s="7"/>
    </row>
    <row r="2" spans="1:13" x14ac:dyDescent="0.25">
      <c r="A2" t="s">
        <v>12</v>
      </c>
      <c r="B2" t="s">
        <v>13</v>
      </c>
      <c r="C2" t="s">
        <v>14</v>
      </c>
      <c r="D2" t="s">
        <v>8</v>
      </c>
      <c r="E2" t="s">
        <v>9</v>
      </c>
      <c r="F2" t="s">
        <v>10</v>
      </c>
      <c r="G2" t="s">
        <v>11</v>
      </c>
      <c r="H2" t="s">
        <v>18</v>
      </c>
    </row>
    <row r="3" spans="1:13" x14ac:dyDescent="0.25">
      <c r="A3">
        <v>2025</v>
      </c>
      <c r="B3">
        <v>4</v>
      </c>
      <c r="C3">
        <v>1</v>
      </c>
      <c r="D3" s="1">
        <v>10516.600841666601</v>
      </c>
      <c r="E3" s="1">
        <v>6459.51</v>
      </c>
      <c r="F3" s="1">
        <v>88278.490299999903</v>
      </c>
      <c r="G3" s="1">
        <v>81818.980299999996</v>
      </c>
      <c r="H3" s="2">
        <v>0.12853497810784401</v>
      </c>
    </row>
    <row r="4" spans="1:13" x14ac:dyDescent="0.25">
      <c r="A4">
        <v>2025</v>
      </c>
      <c r="B4">
        <v>5</v>
      </c>
      <c r="C4">
        <v>1</v>
      </c>
      <c r="D4" s="1">
        <v>11306.2099833333</v>
      </c>
      <c r="E4" s="1">
        <v>5481.08</v>
      </c>
      <c r="F4" s="1">
        <v>100073.8947</v>
      </c>
      <c r="G4" s="1">
        <v>94592.814700000003</v>
      </c>
      <c r="H4" s="2">
        <v>0.119525040238953</v>
      </c>
    </row>
    <row r="5" spans="1:13" x14ac:dyDescent="0.25">
      <c r="A5">
        <v>2025</v>
      </c>
      <c r="B5">
        <v>6</v>
      </c>
      <c r="C5" t="s">
        <v>0</v>
      </c>
      <c r="D5" s="1">
        <v>19061.936576224001</v>
      </c>
      <c r="E5" s="1">
        <v>9744.5900579999998</v>
      </c>
      <c r="F5" s="1">
        <v>78997.396685999993</v>
      </c>
      <c r="G5" s="1">
        <v>69252.806627999904</v>
      </c>
      <c r="H5" s="2">
        <v>0.27525146639352099</v>
      </c>
    </row>
    <row r="6" spans="1:13" x14ac:dyDescent="0.25">
      <c r="A6">
        <v>2025</v>
      </c>
      <c r="B6">
        <v>7</v>
      </c>
      <c r="C6" t="s">
        <v>0</v>
      </c>
      <c r="D6" s="1">
        <v>11007.659401672599</v>
      </c>
      <c r="E6" s="1">
        <v>4956.7800450000004</v>
      </c>
      <c r="F6" s="1">
        <v>62271.894285999901</v>
      </c>
      <c r="G6" s="1">
        <v>57315.114240999901</v>
      </c>
      <c r="H6" s="2">
        <v>0.192055089611919</v>
      </c>
    </row>
    <row r="7" spans="1:13" x14ac:dyDescent="0.25">
      <c r="A7">
        <v>2025</v>
      </c>
      <c r="B7">
        <v>8</v>
      </c>
      <c r="C7" t="s">
        <v>1</v>
      </c>
      <c r="D7" s="1">
        <v>12196.2264821428</v>
      </c>
      <c r="E7" s="1">
        <v>6901.07</v>
      </c>
      <c r="F7" s="1">
        <v>52804.130991999999</v>
      </c>
      <c r="G7" s="1">
        <v>45903.060991999999</v>
      </c>
      <c r="H7" s="2">
        <v>0.26569527649296398</v>
      </c>
    </row>
    <row r="8" spans="1:13" x14ac:dyDescent="0.25">
      <c r="A8">
        <v>2025</v>
      </c>
      <c r="B8">
        <v>9</v>
      </c>
      <c r="C8" t="s">
        <v>1</v>
      </c>
      <c r="D8" s="1">
        <v>6229.0314974560697</v>
      </c>
      <c r="E8" s="1">
        <v>1735.7000849999999</v>
      </c>
      <c r="F8" s="1">
        <v>43524.753020999997</v>
      </c>
      <c r="G8" s="1">
        <v>41789.052936</v>
      </c>
      <c r="H8" s="2">
        <v>0.14905892954778899</v>
      </c>
    </row>
    <row r="9" spans="1:13" x14ac:dyDescent="0.25">
      <c r="A9">
        <v>2025</v>
      </c>
      <c r="B9">
        <v>10</v>
      </c>
      <c r="C9" t="s">
        <v>2</v>
      </c>
      <c r="D9" s="1">
        <v>9883.1953174603095</v>
      </c>
      <c r="E9" s="1">
        <v>1619.09</v>
      </c>
      <c r="F9" s="1">
        <v>36620.679499999998</v>
      </c>
      <c r="G9" s="1">
        <v>35001.589500000002</v>
      </c>
      <c r="H9" s="2">
        <v>0.282364185702489</v>
      </c>
    </row>
    <row r="10" spans="1:13" x14ac:dyDescent="0.25">
      <c r="A10">
        <v>2025</v>
      </c>
      <c r="B10">
        <v>11</v>
      </c>
      <c r="C10" t="s">
        <v>2</v>
      </c>
      <c r="D10" s="1">
        <v>3827.2413148542801</v>
      </c>
      <c r="E10" s="1">
        <v>615.39000599999997</v>
      </c>
      <c r="F10" s="1">
        <v>31865.812637999999</v>
      </c>
      <c r="G10" s="1">
        <v>31250.422632000002</v>
      </c>
      <c r="H10" s="2">
        <v>0.122470065762734</v>
      </c>
    </row>
    <row r="11" spans="1:13" ht="15.75" thickBot="1" x14ac:dyDescent="0.3">
      <c r="A11">
        <v>2025</v>
      </c>
      <c r="B11">
        <v>12</v>
      </c>
      <c r="C11" t="s">
        <v>2</v>
      </c>
      <c r="D11" s="1">
        <v>6497.9537954162697</v>
      </c>
      <c r="E11" s="1">
        <v>1619.6699639999999</v>
      </c>
      <c r="F11" s="1">
        <v>57082.7088</v>
      </c>
      <c r="G11" s="1">
        <v>55463.038836</v>
      </c>
      <c r="H11" s="2">
        <v>0.117158272099555</v>
      </c>
    </row>
    <row r="12" spans="1:13" ht="15.75" thickBot="1" x14ac:dyDescent="0.3">
      <c r="C12" s="4" t="s">
        <v>15</v>
      </c>
      <c r="D12" s="5">
        <f>SUM(D3:D11)</f>
        <v>90526.05521022623</v>
      </c>
      <c r="E12" s="5">
        <f t="shared" ref="E12:G12" si="0">SUM(E3:E11)</f>
        <v>39132.880157999993</v>
      </c>
      <c r="F12" s="5">
        <f t="shared" si="0"/>
        <v>551519.76092299982</v>
      </c>
      <c r="G12" s="5">
        <f t="shared" si="0"/>
        <v>512386.88076499978</v>
      </c>
      <c r="H12" s="6">
        <f>D12/G12</f>
        <v>0.17667520111964954</v>
      </c>
      <c r="J12" s="8" t="s">
        <v>16</v>
      </c>
      <c r="K12" s="8"/>
      <c r="L12" s="8"/>
      <c r="M12" s="3">
        <f>F12+F26</f>
        <v>1578504.1724389987</v>
      </c>
    </row>
    <row r="13" spans="1:13" x14ac:dyDescent="0.25">
      <c r="J13" s="9" t="s">
        <v>17</v>
      </c>
      <c r="K13" s="9"/>
      <c r="L13" s="9"/>
      <c r="M13" s="3">
        <f>G12+G26</f>
        <v>1318808.5922289996</v>
      </c>
    </row>
    <row r="14" spans="1:13" x14ac:dyDescent="0.25">
      <c r="K14" s="10"/>
      <c r="L14" s="10"/>
    </row>
    <row r="15" spans="1:13" ht="21" x14ac:dyDescent="0.35">
      <c r="A15" s="7" t="s">
        <v>3</v>
      </c>
      <c r="B15" s="7"/>
      <c r="C15" s="7"/>
      <c r="D15" s="7"/>
      <c r="E15" s="7"/>
      <c r="F15" s="7"/>
      <c r="G15" s="7"/>
      <c r="H15" s="7"/>
      <c r="I15" s="7"/>
    </row>
    <row r="16" spans="1:13" x14ac:dyDescent="0.25">
      <c r="A16" t="s">
        <v>12</v>
      </c>
      <c r="B16" t="s">
        <v>13</v>
      </c>
      <c r="C16" t="s">
        <v>14</v>
      </c>
      <c r="D16" t="s">
        <v>8</v>
      </c>
      <c r="E16" t="s">
        <v>9</v>
      </c>
      <c r="F16" t="s">
        <v>10</v>
      </c>
      <c r="G16" t="s">
        <v>11</v>
      </c>
      <c r="H16" t="s">
        <v>18</v>
      </c>
    </row>
    <row r="17" spans="1:8" x14ac:dyDescent="0.25">
      <c r="A17">
        <v>2025</v>
      </c>
      <c r="B17">
        <v>4</v>
      </c>
      <c r="C17">
        <v>2</v>
      </c>
      <c r="D17" s="1">
        <v>117676.44036666599</v>
      </c>
      <c r="E17" s="1">
        <v>59826.19</v>
      </c>
      <c r="F17" s="1">
        <v>164578.27530000001</v>
      </c>
      <c r="G17" s="1">
        <v>104752.08530000001</v>
      </c>
      <c r="H17" s="2">
        <v>1.1233804084152801</v>
      </c>
    </row>
    <row r="18" spans="1:8" x14ac:dyDescent="0.25">
      <c r="A18">
        <v>2025</v>
      </c>
      <c r="B18">
        <v>5</v>
      </c>
      <c r="C18">
        <v>2</v>
      </c>
      <c r="D18" s="1">
        <v>26043.076499999999</v>
      </c>
      <c r="E18" s="1">
        <v>28884.34</v>
      </c>
      <c r="F18" s="1">
        <v>136344.3847</v>
      </c>
      <c r="G18" s="1">
        <v>107460.0447</v>
      </c>
      <c r="H18" s="2">
        <v>0.242351253181639</v>
      </c>
    </row>
    <row r="19" spans="1:8" x14ac:dyDescent="0.25">
      <c r="A19">
        <v>2025</v>
      </c>
      <c r="B19">
        <v>6</v>
      </c>
      <c r="C19" t="s">
        <v>4</v>
      </c>
      <c r="D19" s="1">
        <v>85835.649888257904</v>
      </c>
      <c r="E19" s="1">
        <v>45207.799932000002</v>
      </c>
      <c r="F19" s="1">
        <v>83373.785135999904</v>
      </c>
      <c r="G19" s="1">
        <v>38165.985203999902</v>
      </c>
      <c r="H19" s="2">
        <v>2.2490091485771901</v>
      </c>
    </row>
    <row r="20" spans="1:8" x14ac:dyDescent="0.25">
      <c r="A20">
        <v>2025</v>
      </c>
      <c r="B20">
        <v>7</v>
      </c>
      <c r="C20" t="s">
        <v>4</v>
      </c>
      <c r="D20" s="1">
        <v>39521.627137372001</v>
      </c>
      <c r="E20" s="1">
        <v>28520.319974999999</v>
      </c>
      <c r="F20" s="1">
        <v>86419.479391000001</v>
      </c>
      <c r="G20" s="1">
        <v>57899.1594159999</v>
      </c>
      <c r="H20" s="2">
        <v>0.68259414361118498</v>
      </c>
    </row>
    <row r="21" spans="1:8" x14ac:dyDescent="0.25">
      <c r="A21">
        <v>2025</v>
      </c>
      <c r="B21">
        <v>8</v>
      </c>
      <c r="C21" t="s">
        <v>5</v>
      </c>
      <c r="D21" s="1">
        <v>50174.8999339285</v>
      </c>
      <c r="E21" s="1">
        <v>19357.78</v>
      </c>
      <c r="F21" s="1">
        <v>108935.784992</v>
      </c>
      <c r="G21" s="1">
        <v>89578.004992000002</v>
      </c>
      <c r="H21" s="2">
        <v>0.56012522201638104</v>
      </c>
    </row>
    <row r="22" spans="1:8" x14ac:dyDescent="0.25">
      <c r="A22">
        <v>2025</v>
      </c>
      <c r="B22">
        <v>9</v>
      </c>
      <c r="C22" t="s">
        <v>5</v>
      </c>
      <c r="D22" s="1">
        <v>25530.7797184355</v>
      </c>
      <c r="E22" s="1">
        <v>10288.350044999999</v>
      </c>
      <c r="F22" s="1">
        <v>108786.159944999</v>
      </c>
      <c r="G22" s="1">
        <v>98497.809899999993</v>
      </c>
      <c r="H22" s="2">
        <v>0.25920149640236301</v>
      </c>
    </row>
    <row r="23" spans="1:8" x14ac:dyDescent="0.25">
      <c r="A23">
        <v>2025</v>
      </c>
      <c r="B23">
        <v>10</v>
      </c>
      <c r="C23" t="s">
        <v>6</v>
      </c>
      <c r="D23" s="1">
        <v>50216.670587301502</v>
      </c>
      <c r="E23" s="1">
        <v>12529.11</v>
      </c>
      <c r="F23" s="1">
        <v>88620.44</v>
      </c>
      <c r="G23" s="1">
        <v>76091.33</v>
      </c>
      <c r="H23" s="2">
        <v>0.65995259364373804</v>
      </c>
    </row>
    <row r="24" spans="1:8" x14ac:dyDescent="0.25">
      <c r="A24">
        <v>2025</v>
      </c>
      <c r="B24">
        <v>11</v>
      </c>
      <c r="C24" t="s">
        <v>6</v>
      </c>
      <c r="D24" s="1">
        <v>15939.698475494501</v>
      </c>
      <c r="E24" s="1">
        <v>6218.5600839999997</v>
      </c>
      <c r="F24" s="1">
        <v>107433.230388</v>
      </c>
      <c r="G24" s="1">
        <v>101214.670304</v>
      </c>
      <c r="H24" s="2">
        <v>0.15748407249284399</v>
      </c>
    </row>
    <row r="25" spans="1:8" ht="15.75" thickBot="1" x14ac:dyDescent="0.3">
      <c r="A25">
        <v>2025</v>
      </c>
      <c r="B25">
        <v>12</v>
      </c>
      <c r="C25" t="s">
        <v>6</v>
      </c>
      <c r="D25" s="1">
        <v>41524.985887088398</v>
      </c>
      <c r="E25" s="1">
        <v>9730.250016</v>
      </c>
      <c r="F25" s="1">
        <v>142492.87166400001</v>
      </c>
      <c r="G25" s="1">
        <v>132762.621648</v>
      </c>
      <c r="H25" s="2">
        <v>0.31277618181708999</v>
      </c>
    </row>
    <row r="26" spans="1:8" ht="15.75" thickBot="1" x14ac:dyDescent="0.3">
      <c r="C26" s="4" t="s">
        <v>15</v>
      </c>
      <c r="D26" s="5">
        <f>SUM(D17:D25)</f>
        <v>452463.82849454432</v>
      </c>
      <c r="E26" s="5">
        <f t="shared" ref="E26" si="1">SUM(E17:E25)</f>
        <v>220562.700052</v>
      </c>
      <c r="F26" s="5">
        <f t="shared" ref="F26" si="2">SUM(F17:F25)</f>
        <v>1026984.411515999</v>
      </c>
      <c r="G26" s="5">
        <f t="shared" ref="G26" si="3">SUM(G17:G25)</f>
        <v>806421.71146399982</v>
      </c>
      <c r="H26" s="6">
        <f>D26/G26</f>
        <v>0.56107595078650507</v>
      </c>
    </row>
  </sheetData>
  <mergeCells count="4">
    <mergeCell ref="A1:I1"/>
    <mergeCell ref="A15:I15"/>
    <mergeCell ref="J13:L13"/>
    <mergeCell ref="J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low_bands_summary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Vaughan</cp:lastModifiedBy>
  <dcterms:created xsi:type="dcterms:W3CDTF">2025-11-18T04:16:07Z</dcterms:created>
  <dcterms:modified xsi:type="dcterms:W3CDTF">2025-11-18T04:16:07Z</dcterms:modified>
</cp:coreProperties>
</file>